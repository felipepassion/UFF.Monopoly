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56a5b249224bad/Área de Trabalho/GPMS/"/>
    </mc:Choice>
  </mc:AlternateContent>
  <xr:revisionPtr revIDLastSave="351" documentId="8_{12091EDB-8AD1-4F09-B5BA-D498EABFA78A}" xr6:coauthVersionLast="47" xr6:coauthVersionMax="47" xr10:uidLastSave="{F64369DF-1773-47A3-9A52-A34D1B482511}"/>
  <bookViews>
    <workbookView xWindow="-120" yWindow="-120" windowWidth="29040" windowHeight="15720" xr2:uid="{1E4EBAAB-6314-430B-8A06-6E414CDFCB1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J7" i="1"/>
  <c r="K3" i="1" a="1"/>
  <c r="K3" i="1" s="1"/>
  <c r="J4" i="1"/>
  <c r="J5" i="1"/>
  <c r="J6" i="1"/>
  <c r="J8" i="1"/>
  <c r="J9" i="1"/>
  <c r="J10" i="1"/>
  <c r="J11" i="1"/>
  <c r="J12" i="1"/>
  <c r="J3" i="1"/>
  <c r="L3" i="1" a="1"/>
  <c r="L3" i="1" s="1"/>
  <c r="N3" i="1"/>
  <c r="N4" i="1"/>
  <c r="N5" i="1"/>
  <c r="N6" i="1"/>
  <c r="N7" i="1"/>
  <c r="N11" i="1"/>
  <c r="N12" i="1"/>
  <c r="I4" i="1"/>
  <c r="I5" i="1"/>
  <c r="M3" i="1" s="1" a="1"/>
  <c r="M3" i="1" s="1"/>
  <c r="I6" i="1"/>
  <c r="I7" i="1"/>
  <c r="I8" i="1"/>
  <c r="I9" i="1"/>
  <c r="I10" i="1"/>
  <c r="I11" i="1"/>
  <c r="I12" i="1"/>
  <c r="I3" i="1"/>
  <c r="N8" i="1" s="1"/>
  <c r="B3" i="1" a="1"/>
  <c r="B3" i="1" s="1"/>
  <c r="N10" i="1" l="1"/>
  <c r="N9" i="1"/>
  <c r="Q3" i="1" s="1" a="1"/>
  <c r="Q3" i="1" s="1"/>
  <c r="P3" i="1" a="1"/>
  <c r="P3" i="1" s="1"/>
  <c r="O3" i="1" a="1"/>
  <c r="O3" i="1" s="1"/>
  <c r="R3" i="1" l="1" a="1"/>
  <c r="R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<sst xmlns="http://schemas.openxmlformats.org/spreadsheetml/2006/main" count="18" uniqueCount="18">
  <si>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>Custo Homem/Dia($)</t>
  </si>
  <si>
    <t>BAC</t>
  </si>
  <si>
    <t>A%C</t>
  </si>
  <si>
    <t>P%C</t>
  </si>
  <si>
    <t>AC</t>
  </si>
  <si>
    <t>PV</t>
  </si>
  <si>
    <t>EV</t>
  </si>
  <si>
    <t>SV</t>
  </si>
  <si>
    <t>CV</t>
  </si>
  <si>
    <t>SPI</t>
  </si>
  <si>
    <t>CPI</t>
  </si>
  <si>
    <t>Custo (R$)</t>
  </si>
  <si>
    <t>Esforço Planejado (HH)</t>
  </si>
  <si>
    <t>Real (HH)</t>
  </si>
  <si>
    <t>Sprint</t>
  </si>
  <si>
    <t>Esforço Planejado Total</t>
  </si>
  <si>
    <t>Esforço Total Real</t>
  </si>
  <si>
    <t xml:space="preserve">Esforço Planejado Concluido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</si>
</sst>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434343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6" fillId="0" borderId="1" xfId="0" applyFont="1" applyBorder="1"/>
    <xf numFmtId="0" fontId="3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/>
    <xf numFmtId="2" fontId="4" fillId="0" borderId="1" xfId="0" applyNumberFormat="1" applyFont="1" applyBorder="1" applyAlignment="1">
      <alignment horizontal="center" wrapText="1"/>
    </xf>
    <xf numFmtId="2" fontId="5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/>
    <xf numFmtId="1" fontId="4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/>
    <xf numFmtId="1" fontId="5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/>
    <xf numFmtId="0" fontId="0" fillId="0" borderId="1" xfId="0" applyFont="1" applyBorder="1"/>
    <xf numFmtId="1" fontId="0" fillId="0" borderId="1" xfId="0" applyNumberFormat="1" applyFont="1" applyBorder="1"/>
    <xf numFmtId="2" fontId="0" fillId="0" borderId="1" xfId="0" applyNumberFormat="1" applyFont="1" applyBorder="1"/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6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C5F2B-60C3-443B-9060-FF371D47C83E}">
  <dimension ref="A1:R12"/>
  <sheetViews>
    <sheetView tabSelected="1" zoomScale="115" zoomScaleNormal="115" workbookViewId="0">
      <selection activeCell="S16" sqref="S16"/>
    </sheetView>
  </sheetViews>
  <sheetFormatPr defaultRowHeight="15" x14ac:dyDescent="0.25"/>
  <cols>
    <col min="2" max="2" width="12.28515625" bestFit="1" customWidth="1"/>
    <col min="4" max="4" width="11" customWidth="1"/>
    <col min="10" max="11" width="11.5703125" bestFit="1" customWidth="1"/>
    <col min="18" max="18" width="10.5703125" bestFit="1" customWidth="1"/>
  </cols>
  <sheetData>
    <row r="1" spans="1:18" ht="39" x14ac:dyDescent="0.25">
      <c r="A1" s="23" t="s">
        <v>14</v>
      </c>
      <c r="B1" s="22" t="s">
        <v>11</v>
      </c>
      <c r="C1" s="22" t="s">
        <v>12</v>
      </c>
      <c r="D1" s="22" t="s">
        <v>17</v>
      </c>
      <c r="E1" s="22" t="s">
        <v>13</v>
      </c>
      <c r="F1" s="25" t="s">
        <v>0</v>
      </c>
      <c r="G1" s="25" t="s">
        <v>15</v>
      </c>
      <c r="H1" s="25" t="s">
        <v>16</v>
      </c>
      <c r="I1" s="25" t="s">
        <v>1</v>
      </c>
      <c r="J1" s="25" t="s">
        <v>2</v>
      </c>
      <c r="K1" s="25" t="s">
        <v>3</v>
      </c>
      <c r="L1" s="25" t="s">
        <v>4</v>
      </c>
      <c r="M1" s="25" t="s">
        <v>5</v>
      </c>
      <c r="N1" s="25" t="s">
        <v>6</v>
      </c>
      <c r="O1" s="25" t="s">
        <v>7</v>
      </c>
      <c r="P1" s="25" t="s">
        <v>8</v>
      </c>
      <c r="Q1" s="25" t="s">
        <v>9</v>
      </c>
      <c r="R1" s="25" t="s">
        <v>10</v>
      </c>
    </row>
    <row r="2" spans="1:18" x14ac:dyDescent="0.25">
      <c r="A2" s="8">
        <v>0</v>
      </c>
      <c r="B2" s="1">
        <v>0</v>
      </c>
      <c r="C2" s="1">
        <v>0</v>
      </c>
      <c r="D2" s="1">
        <v>0</v>
      </c>
      <c r="E2" s="1">
        <v>0</v>
      </c>
      <c r="F2" s="3">
        <v>78</v>
      </c>
      <c r="G2" s="4">
        <v>176</v>
      </c>
      <c r="H2" s="24">
        <v>0</v>
      </c>
      <c r="I2" s="4">
        <f>F2*G2</f>
        <v>13728</v>
      </c>
      <c r="J2" s="24">
        <v>0</v>
      </c>
      <c r="K2" s="24">
        <v>0</v>
      </c>
      <c r="L2" s="24">
        <v>0</v>
      </c>
      <c r="M2" s="24">
        <v>0</v>
      </c>
      <c r="N2" s="24">
        <v>0</v>
      </c>
      <c r="O2" s="24">
        <v>0</v>
      </c>
      <c r="P2" s="24">
        <v>0</v>
      </c>
      <c r="Q2" s="26">
        <v>1</v>
      </c>
      <c r="R2" s="26">
        <v>1</v>
      </c>
    </row>
    <row r="3" spans="1:18" x14ac:dyDescent="0.25">
      <c r="A3" s="8">
        <v>1</v>
      </c>
      <c r="B3" s="1" cm="1">
        <f t="array" ref="B3:B12">(E3:E12*F3:F12)</f>
        <v>1599</v>
      </c>
      <c r="C3" s="2">
        <v>32</v>
      </c>
      <c r="D3" s="2">
        <v>32</v>
      </c>
      <c r="E3" s="2">
        <v>20.5</v>
      </c>
      <c r="F3" s="3">
        <v>78</v>
      </c>
      <c r="G3" s="4">
        <v>176</v>
      </c>
      <c r="H3" s="3">
        <v>20.5</v>
      </c>
      <c r="I3" s="4">
        <f>F3*G3</f>
        <v>13728</v>
      </c>
      <c r="J3" s="10">
        <f>(D3/$G$3)</f>
        <v>0.18181818181818182</v>
      </c>
      <c r="K3" s="10" cm="1">
        <f t="array" ref="K3:K12">C3:C12/G3:G12</f>
        <v>0.18181818181818182</v>
      </c>
      <c r="L3" s="15" cm="1">
        <f t="array" ref="L3:L12">(F3:F12*E3:E12)</f>
        <v>1599</v>
      </c>
      <c r="M3" s="16" cm="1">
        <f t="array" ref="M3:M12">(C3:C12/G3:G12)*I3:I12</f>
        <v>2496</v>
      </c>
      <c r="N3" s="15">
        <f>(D3/$G$3)*$I$3</f>
        <v>2496</v>
      </c>
      <c r="O3" s="15" cm="1">
        <f t="array" ref="O3:O12">N3:N12-M3:M12</f>
        <v>0</v>
      </c>
      <c r="P3" s="15" cm="1">
        <f t="array" ref="P3:P12">N3:N12-L3:L12</f>
        <v>897</v>
      </c>
      <c r="Q3" s="12" cm="1">
        <f t="array" ref="Q3:Q12">N3:N12/M3:M12</f>
        <v>1</v>
      </c>
      <c r="R3" s="12" cm="1">
        <f t="array" ref="R3:R12">N3:N12/L3:L12</f>
        <v>1.5609756097560976</v>
      </c>
    </row>
    <row r="4" spans="1:18" x14ac:dyDescent="0.25">
      <c r="A4" s="8">
        <v>2</v>
      </c>
      <c r="B4" s="5">
        <v>1599</v>
      </c>
      <c r="C4" s="9">
        <v>32</v>
      </c>
      <c r="D4" s="9">
        <v>32</v>
      </c>
      <c r="E4" s="9">
        <v>20.5</v>
      </c>
      <c r="F4" s="6">
        <v>78</v>
      </c>
      <c r="G4" s="9">
        <v>176</v>
      </c>
      <c r="H4" s="6">
        <v>20.5</v>
      </c>
      <c r="I4" s="9">
        <f t="shared" ref="I4:I12" si="0">F4*G4</f>
        <v>13728</v>
      </c>
      <c r="J4" s="11">
        <f t="shared" ref="J4:J12" si="1">(D4/$G$3)</f>
        <v>0.18181818181818182</v>
      </c>
      <c r="K4" s="11">
        <v>0.18181818181818182</v>
      </c>
      <c r="L4" s="17">
        <v>1599</v>
      </c>
      <c r="M4" s="17">
        <v>2496</v>
      </c>
      <c r="N4" s="17">
        <f t="shared" ref="N4:N12" si="2">(D4/$G$3)*$I$3</f>
        <v>2496</v>
      </c>
      <c r="O4" s="17">
        <v>0</v>
      </c>
      <c r="P4" s="17">
        <v>897</v>
      </c>
      <c r="Q4" s="13">
        <v>1</v>
      </c>
      <c r="R4" s="13">
        <v>1.5609756097560976</v>
      </c>
    </row>
    <row r="5" spans="1:18" x14ac:dyDescent="0.25">
      <c r="A5" s="8">
        <v>3</v>
      </c>
      <c r="B5" s="5">
        <v>1599</v>
      </c>
      <c r="C5" s="9">
        <v>32</v>
      </c>
      <c r="D5" s="9">
        <v>32</v>
      </c>
      <c r="E5" s="9">
        <v>20.5</v>
      </c>
      <c r="F5" s="6">
        <v>78</v>
      </c>
      <c r="G5" s="9">
        <v>176</v>
      </c>
      <c r="H5" s="6">
        <v>20.5</v>
      </c>
      <c r="I5" s="9">
        <f t="shared" si="0"/>
        <v>13728</v>
      </c>
      <c r="J5" s="11">
        <f t="shared" si="1"/>
        <v>0.18181818181818182</v>
      </c>
      <c r="K5" s="11">
        <v>0.18181818181818182</v>
      </c>
      <c r="L5" s="17">
        <v>1599</v>
      </c>
      <c r="M5" s="17">
        <v>2496</v>
      </c>
      <c r="N5" s="17">
        <f t="shared" si="2"/>
        <v>2496</v>
      </c>
      <c r="O5" s="17">
        <v>0</v>
      </c>
      <c r="P5" s="17">
        <v>897</v>
      </c>
      <c r="Q5" s="13">
        <v>1</v>
      </c>
      <c r="R5" s="13">
        <v>1.5609756097560976</v>
      </c>
    </row>
    <row r="6" spans="1:18" x14ac:dyDescent="0.25">
      <c r="A6" s="8">
        <v>4</v>
      </c>
      <c r="B6" s="5">
        <v>1599</v>
      </c>
      <c r="C6" s="9">
        <v>32</v>
      </c>
      <c r="D6" s="9">
        <v>32</v>
      </c>
      <c r="E6" s="9">
        <v>20.5</v>
      </c>
      <c r="F6" s="6">
        <v>78</v>
      </c>
      <c r="G6" s="9">
        <v>176</v>
      </c>
      <c r="H6" s="6">
        <v>20.5</v>
      </c>
      <c r="I6" s="9">
        <f t="shared" si="0"/>
        <v>13728</v>
      </c>
      <c r="J6" s="11">
        <f t="shared" si="1"/>
        <v>0.18181818181818182</v>
      </c>
      <c r="K6" s="11">
        <v>0.18181818181818182</v>
      </c>
      <c r="L6" s="17">
        <v>1599</v>
      </c>
      <c r="M6" s="17">
        <v>2496</v>
      </c>
      <c r="N6" s="17">
        <f t="shared" si="2"/>
        <v>2496</v>
      </c>
      <c r="O6" s="17">
        <v>0</v>
      </c>
      <c r="P6" s="17">
        <v>897</v>
      </c>
      <c r="Q6" s="13">
        <v>1</v>
      </c>
      <c r="R6" s="13">
        <v>1.5609756097560976</v>
      </c>
    </row>
    <row r="7" spans="1:18" x14ac:dyDescent="0.25">
      <c r="A7" s="8">
        <v>5</v>
      </c>
      <c r="B7" s="1">
        <v>7137</v>
      </c>
      <c r="C7" s="1">
        <v>143</v>
      </c>
      <c r="D7" s="1">
        <v>123</v>
      </c>
      <c r="E7" s="1">
        <v>91.5</v>
      </c>
      <c r="F7" s="3">
        <v>78</v>
      </c>
      <c r="G7" s="4">
        <v>176</v>
      </c>
      <c r="H7" s="1">
        <v>91.5</v>
      </c>
      <c r="I7" s="4">
        <f t="shared" si="0"/>
        <v>13728</v>
      </c>
      <c r="J7" s="10">
        <f>(D7/$G$3)</f>
        <v>0.69886363636363635</v>
      </c>
      <c r="K7" s="10">
        <v>0.8125</v>
      </c>
      <c r="L7" s="15">
        <v>7137</v>
      </c>
      <c r="M7" s="16">
        <v>11154</v>
      </c>
      <c r="N7" s="15">
        <f t="shared" si="2"/>
        <v>9594</v>
      </c>
      <c r="O7" s="15">
        <v>-1560</v>
      </c>
      <c r="P7" s="15">
        <v>2457</v>
      </c>
      <c r="Q7" s="12">
        <v>0.8601398601398601</v>
      </c>
      <c r="R7" s="12">
        <v>1.3442622950819672</v>
      </c>
    </row>
    <row r="8" spans="1:18" x14ac:dyDescent="0.25">
      <c r="A8" s="8">
        <v>6</v>
      </c>
      <c r="B8" s="7">
        <v>7137</v>
      </c>
      <c r="C8" s="7">
        <v>143</v>
      </c>
      <c r="D8" s="7">
        <v>123</v>
      </c>
      <c r="E8" s="7">
        <v>91.5</v>
      </c>
      <c r="F8" s="6">
        <v>78</v>
      </c>
      <c r="G8" s="9">
        <v>176</v>
      </c>
      <c r="H8" s="7">
        <v>91.5</v>
      </c>
      <c r="I8" s="9">
        <f t="shared" si="0"/>
        <v>13728</v>
      </c>
      <c r="J8" s="11">
        <f t="shared" si="1"/>
        <v>0.69886363636363635</v>
      </c>
      <c r="K8" s="11">
        <v>0.8125</v>
      </c>
      <c r="L8" s="18">
        <v>7137</v>
      </c>
      <c r="M8" s="18">
        <v>11154</v>
      </c>
      <c r="N8" s="17">
        <f t="shared" si="2"/>
        <v>9594</v>
      </c>
      <c r="O8" s="18">
        <v>-1560</v>
      </c>
      <c r="P8" s="18">
        <v>2457</v>
      </c>
      <c r="Q8" s="14">
        <v>0.8601398601398601</v>
      </c>
      <c r="R8" s="14">
        <v>1.3442622950819672</v>
      </c>
    </row>
    <row r="9" spans="1:18" x14ac:dyDescent="0.25">
      <c r="A9" s="8">
        <v>7</v>
      </c>
      <c r="B9" s="7">
        <v>7137</v>
      </c>
      <c r="C9" s="7">
        <v>143</v>
      </c>
      <c r="D9" s="7">
        <v>123</v>
      </c>
      <c r="E9" s="7">
        <v>91.5</v>
      </c>
      <c r="F9" s="6">
        <v>78</v>
      </c>
      <c r="G9" s="9">
        <v>176</v>
      </c>
      <c r="H9" s="7">
        <v>91.5</v>
      </c>
      <c r="I9" s="9">
        <f t="shared" si="0"/>
        <v>13728</v>
      </c>
      <c r="J9" s="11">
        <f t="shared" si="1"/>
        <v>0.69886363636363635</v>
      </c>
      <c r="K9" s="11">
        <v>0.8125</v>
      </c>
      <c r="L9" s="18">
        <v>7137</v>
      </c>
      <c r="M9" s="18">
        <v>11154</v>
      </c>
      <c r="N9" s="17">
        <f t="shared" si="2"/>
        <v>9594</v>
      </c>
      <c r="O9" s="18">
        <v>-1560</v>
      </c>
      <c r="P9" s="18">
        <v>2457</v>
      </c>
      <c r="Q9" s="14">
        <v>0.8601398601398601</v>
      </c>
      <c r="R9" s="14">
        <v>1.3442622950819672</v>
      </c>
    </row>
    <row r="10" spans="1:18" x14ac:dyDescent="0.25">
      <c r="A10" s="8">
        <v>8</v>
      </c>
      <c r="B10" s="19">
        <v>8034</v>
      </c>
      <c r="C10" s="19">
        <v>152</v>
      </c>
      <c r="D10" s="7">
        <v>132</v>
      </c>
      <c r="E10" s="19">
        <v>103</v>
      </c>
      <c r="F10" s="3">
        <v>78</v>
      </c>
      <c r="G10" s="4">
        <v>176</v>
      </c>
      <c r="H10" s="19">
        <v>97</v>
      </c>
      <c r="I10" s="4">
        <f t="shared" si="0"/>
        <v>13728</v>
      </c>
      <c r="J10" s="10">
        <f t="shared" si="1"/>
        <v>0.75</v>
      </c>
      <c r="K10" s="10">
        <v>0.86363636363636365</v>
      </c>
      <c r="L10" s="20">
        <v>8034</v>
      </c>
      <c r="M10" s="20">
        <v>11856</v>
      </c>
      <c r="N10" s="15">
        <f t="shared" si="2"/>
        <v>10296</v>
      </c>
      <c r="O10" s="20">
        <v>-1560</v>
      </c>
      <c r="P10" s="20">
        <v>2262</v>
      </c>
      <c r="Q10" s="21">
        <v>0.86842105263157898</v>
      </c>
      <c r="R10" s="21">
        <v>1.2815533980582525</v>
      </c>
    </row>
    <row r="11" spans="1:18" x14ac:dyDescent="0.25">
      <c r="A11" s="8">
        <v>9</v>
      </c>
      <c r="B11" s="19">
        <v>9594</v>
      </c>
      <c r="C11" s="19">
        <v>167</v>
      </c>
      <c r="D11" s="2">
        <v>138</v>
      </c>
      <c r="E11" s="19">
        <v>123</v>
      </c>
      <c r="F11" s="3">
        <v>78</v>
      </c>
      <c r="G11" s="4">
        <v>176</v>
      </c>
      <c r="H11" s="19">
        <v>117</v>
      </c>
      <c r="I11" s="4">
        <f t="shared" si="0"/>
        <v>13728</v>
      </c>
      <c r="J11" s="10">
        <f t="shared" si="1"/>
        <v>0.78409090909090906</v>
      </c>
      <c r="K11" s="10">
        <v>0.94886363636363635</v>
      </c>
      <c r="L11" s="20">
        <v>9594</v>
      </c>
      <c r="M11" s="20">
        <v>13026</v>
      </c>
      <c r="N11" s="15">
        <f t="shared" si="2"/>
        <v>10764</v>
      </c>
      <c r="O11" s="20">
        <v>-2262</v>
      </c>
      <c r="P11" s="20">
        <v>1170</v>
      </c>
      <c r="Q11" s="21">
        <v>0.82634730538922152</v>
      </c>
      <c r="R11" s="21">
        <v>1.1219512195121952</v>
      </c>
    </row>
    <row r="12" spans="1:18" x14ac:dyDescent="0.25">
      <c r="A12" s="8">
        <v>10</v>
      </c>
      <c r="B12" s="19">
        <v>11232</v>
      </c>
      <c r="C12" s="19">
        <v>176</v>
      </c>
      <c r="D12" s="2">
        <v>170</v>
      </c>
      <c r="E12" s="19">
        <v>144</v>
      </c>
      <c r="F12" s="3">
        <v>78</v>
      </c>
      <c r="G12" s="4">
        <v>176</v>
      </c>
      <c r="H12" s="19">
        <v>144</v>
      </c>
      <c r="I12" s="4">
        <f t="shared" si="0"/>
        <v>13728</v>
      </c>
      <c r="J12" s="10">
        <f t="shared" si="1"/>
        <v>0.96590909090909094</v>
      </c>
      <c r="K12" s="10">
        <v>1</v>
      </c>
      <c r="L12" s="20">
        <v>11232</v>
      </c>
      <c r="M12" s="20">
        <v>13728</v>
      </c>
      <c r="N12" s="15">
        <f t="shared" si="2"/>
        <v>13260</v>
      </c>
      <c r="O12" s="20">
        <v>-468</v>
      </c>
      <c r="P12" s="20">
        <v>2028</v>
      </c>
      <c r="Q12" s="21">
        <v>0.96590909090909094</v>
      </c>
      <c r="R12" s="21">
        <v>1.1805555555555556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Kauan Christofaro</dc:creator>
  <cp:lastModifiedBy>Kauan Christofaro</cp:lastModifiedBy>
  <dcterms:created xsi:type="dcterms:W3CDTF">2025-11-23T22:44:47Z</dcterms:created>
  <dcterms:modified xsi:type="dcterms:W3CDTF">2025-11-25T16:54:59Z</dcterms:modified>
</cp:coreProperties>
</file>